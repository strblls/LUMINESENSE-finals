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gemar\Desktop\College Collage\UNO-R\Units\3Y4Y - CAPSTONE\CAPSTONE 2\"/>
    </mc:Choice>
  </mc:AlternateContent>
  <xr:revisionPtr revIDLastSave="0" documentId="8_{D01E6F95-9CD6-4C5E-8662-3A928C4C28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T Schedule" sheetId="1" r:id="rId1"/>
    <sheet name="PERT Diagram" sheetId="3" r:id="rId2"/>
    <sheet name="Gantt Char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1" i="3" l="1"/>
  <c r="AU11" i="3"/>
  <c r="AT11" i="3"/>
  <c r="AV9" i="3"/>
  <c r="AU9" i="3"/>
  <c r="AT9" i="3"/>
  <c r="AR9" i="3"/>
  <c r="AQ9" i="3"/>
  <c r="AP9" i="3"/>
  <c r="AQ11" i="3"/>
  <c r="AR11" i="3"/>
  <c r="AP11" i="3"/>
  <c r="AN11" i="3"/>
  <c r="AM11" i="3"/>
  <c r="AL11" i="3"/>
  <c r="AN9" i="3"/>
  <c r="AM9" i="3"/>
  <c r="AL9" i="3"/>
  <c r="AJ14" i="3"/>
  <c r="AI14" i="3"/>
  <c r="AH14" i="3"/>
  <c r="AJ12" i="3"/>
  <c r="AI12" i="3"/>
  <c r="AH12" i="3"/>
  <c r="AJ8" i="3"/>
  <c r="AI8" i="3"/>
  <c r="AH8" i="3"/>
  <c r="AJ6" i="3"/>
  <c r="AI6" i="3"/>
  <c r="AH6" i="3"/>
  <c r="AF11" i="3"/>
  <c r="AE11" i="3"/>
  <c r="AD11" i="3"/>
  <c r="AF9" i="3"/>
  <c r="AE9" i="3"/>
  <c r="AD9" i="3"/>
  <c r="AB12" i="3"/>
  <c r="AA12" i="3"/>
  <c r="Z12" i="3"/>
  <c r="AB14" i="3"/>
  <c r="AA14" i="3"/>
  <c r="Z14" i="3"/>
  <c r="Z8" i="3"/>
  <c r="AB6" i="3"/>
  <c r="AA6" i="3"/>
  <c r="Z6" i="3"/>
  <c r="X9" i="3"/>
  <c r="W9" i="3"/>
  <c r="V9" i="3"/>
  <c r="AB8" i="3"/>
  <c r="AA8" i="3"/>
  <c r="V11" i="3"/>
  <c r="W11" i="3"/>
  <c r="X11" i="3"/>
  <c r="T14" i="3"/>
  <c r="S14" i="3"/>
  <c r="R14" i="3"/>
  <c r="T12" i="3"/>
  <c r="S12" i="3"/>
  <c r="R12" i="3"/>
  <c r="T8" i="3"/>
  <c r="S8" i="3"/>
  <c r="R8" i="3"/>
  <c r="T6" i="3"/>
  <c r="S6" i="3"/>
  <c r="R6" i="3"/>
  <c r="P11" i="3"/>
  <c r="O11" i="3"/>
  <c r="N11" i="3"/>
  <c r="P9" i="3"/>
  <c r="O9" i="3"/>
  <c r="N9" i="3"/>
  <c r="L11" i="3"/>
  <c r="J11" i="3"/>
  <c r="K11" i="3"/>
  <c r="L9" i="3"/>
  <c r="J9" i="3"/>
  <c r="K9" i="3"/>
  <c r="G9" i="3"/>
  <c r="H11" i="3"/>
  <c r="F11" i="3"/>
  <c r="H9" i="3"/>
  <c r="F9" i="3"/>
  <c r="G11" i="3"/>
  <c r="D11" i="3"/>
  <c r="C11" i="3"/>
  <c r="B11" i="3"/>
  <c r="D9" i="3"/>
  <c r="C9" i="3"/>
  <c r="B9" i="3"/>
  <c r="H21" i="1"/>
  <c r="H17" i="1"/>
  <c r="H18" i="1"/>
  <c r="H19" i="1"/>
  <c r="H16" i="1"/>
  <c r="H13" i="1"/>
  <c r="H14" i="1"/>
  <c r="H12" i="1"/>
  <c r="H9" i="1"/>
  <c r="H10" i="1"/>
  <c r="H8" i="1"/>
  <c r="H4" i="1"/>
  <c r="H5" i="1"/>
  <c r="H6" i="1"/>
  <c r="H3" i="1"/>
  <c r="J3" i="1" s="1"/>
  <c r="I4" i="1" s="1"/>
  <c r="J4" i="1" l="1"/>
  <c r="I5" i="1" s="1"/>
  <c r="J5" i="1" s="1"/>
  <c r="I6" i="1" s="1"/>
  <c r="J6" i="1" s="1"/>
  <c r="I9" i="1" l="1"/>
  <c r="J9" i="1" s="1"/>
  <c r="I8" i="1"/>
  <c r="J8" i="1" s="1"/>
  <c r="I10" i="1" s="1"/>
  <c r="J10" i="1" s="1"/>
  <c r="I13" i="1" l="1"/>
  <c r="J13" i="1" s="1"/>
  <c r="I12" i="1"/>
  <c r="J12" i="1" s="1"/>
  <c r="I14" i="1" l="1"/>
  <c r="J14" i="1" s="1"/>
  <c r="I16" i="1" l="1"/>
  <c r="J16" i="1" s="1"/>
  <c r="I17" i="1"/>
  <c r="J17" i="1" s="1"/>
  <c r="I18" i="1" l="1"/>
  <c r="J18" i="1" s="1"/>
  <c r="I19" i="1" s="1"/>
  <c r="J19" i="1" s="1"/>
  <c r="I21" i="1" s="1"/>
  <c r="J21" i="1" s="1"/>
  <c r="L21" i="1" s="1"/>
  <c r="K21" i="1" s="1"/>
  <c r="M21" i="1" l="1"/>
  <c r="L19" i="1"/>
  <c r="K19" i="1" s="1"/>
  <c r="M19" i="1" l="1"/>
  <c r="L18" i="1"/>
  <c r="K18" i="1" s="1"/>
  <c r="M18" i="1" l="1"/>
  <c r="L16" i="1"/>
  <c r="K16" i="1" s="1"/>
  <c r="L17" i="1"/>
  <c r="K17" i="1" s="1"/>
  <c r="M17" i="1" s="1"/>
  <c r="M16" i="1" l="1"/>
  <c r="L14" i="1"/>
  <c r="K14" i="1" s="1"/>
  <c r="M14" i="1" l="1"/>
  <c r="L12" i="1"/>
  <c r="K12" i="1" s="1"/>
  <c r="L13" i="1"/>
  <c r="K13" i="1" s="1"/>
  <c r="M13" i="1" s="1"/>
  <c r="L10" i="1" l="1"/>
  <c r="K10" i="1" s="1"/>
  <c r="M12" i="1"/>
  <c r="M10" i="1" l="1"/>
  <c r="L8" i="1"/>
  <c r="K8" i="1" s="1"/>
  <c r="L9" i="1"/>
  <c r="K9" i="1" s="1"/>
  <c r="M9" i="1" s="1"/>
  <c r="M8" i="1" l="1"/>
  <c r="L6" i="1"/>
  <c r="K6" i="1" s="1"/>
  <c r="L5" i="1" l="1"/>
  <c r="K5" i="1" s="1"/>
  <c r="M6" i="1"/>
  <c r="L4" i="1" l="1"/>
  <c r="K4" i="1" s="1"/>
  <c r="M5" i="1"/>
  <c r="L3" i="1" l="1"/>
  <c r="K3" i="1" s="1"/>
  <c r="M3" i="1" s="1"/>
  <c r="M4" i="1"/>
</calcChain>
</file>

<file path=xl/sharedStrings.xml><?xml version="1.0" encoding="utf-8"?>
<sst xmlns="http://schemas.openxmlformats.org/spreadsheetml/2006/main" count="133" uniqueCount="55">
  <si>
    <t>Task</t>
  </si>
  <si>
    <t>Description</t>
  </si>
  <si>
    <t>Predecessor</t>
  </si>
  <si>
    <t>Successor</t>
  </si>
  <si>
    <t>ET</t>
  </si>
  <si>
    <t>ES</t>
  </si>
  <si>
    <t>EF</t>
  </si>
  <si>
    <t>LS</t>
  </si>
  <si>
    <t>LF</t>
  </si>
  <si>
    <t>Slack</t>
  </si>
  <si>
    <t>Planning Phase</t>
  </si>
  <si>
    <t>A</t>
  </si>
  <si>
    <t>None</t>
  </si>
  <si>
    <t>B</t>
  </si>
  <si>
    <t>C</t>
  </si>
  <si>
    <t>Conduct Feasibility Study</t>
  </si>
  <si>
    <t>D</t>
  </si>
  <si>
    <t>Create Project Timeline</t>
  </si>
  <si>
    <t>E,F</t>
  </si>
  <si>
    <t>Design Phase</t>
  </si>
  <si>
    <t>E</t>
  </si>
  <si>
    <t>Design System Prototype</t>
  </si>
  <si>
    <t>G</t>
  </si>
  <si>
    <t>F</t>
  </si>
  <si>
    <t>Design User Interface (UI)</t>
  </si>
  <si>
    <t>Development Phase</t>
  </si>
  <si>
    <t>I</t>
  </si>
  <si>
    <t>K</t>
  </si>
  <si>
    <t>J</t>
  </si>
  <si>
    <t>Develop Backend</t>
  </si>
  <si>
    <t>Testing Phase</t>
  </si>
  <si>
    <t>L</t>
  </si>
  <si>
    <t>Conduct Testing and Trials</t>
  </si>
  <si>
    <t>N</t>
  </si>
  <si>
    <t>M</t>
  </si>
  <si>
    <t>Fix Hardware and Software Issues</t>
  </si>
  <si>
    <t>O</t>
  </si>
  <si>
    <t>Deploy Final System</t>
  </si>
  <si>
    <t>Deployment Phase</t>
  </si>
  <si>
    <t>Prepare System Documentation</t>
  </si>
  <si>
    <t>Defining System Objectives and Scope</t>
  </si>
  <si>
    <t>Identifying Project Hardware and Software Components</t>
  </si>
  <si>
    <t>Design Integrations of API and Libraries</t>
  </si>
  <si>
    <t>Develop Prototype</t>
  </si>
  <si>
    <t>Conduct User Testing and Evaluate User Acceptance</t>
  </si>
  <si>
    <t>Optimistic Time</t>
  </si>
  <si>
    <t>Most Likely Time</t>
  </si>
  <si>
    <t>Pessimistic Time</t>
  </si>
  <si>
    <t>Develop Frontend and API</t>
  </si>
  <si>
    <t>Week</t>
  </si>
  <si>
    <t>H</t>
  </si>
  <si>
    <t>H,I</t>
  </si>
  <si>
    <t>K,L</t>
  </si>
  <si>
    <t xml:space="preserve">A -&gt; B -&gt; C -&gt; D -&gt; E -&gt; G -&gt; I -&gt; J -&gt;  L -&gt; M -&gt; N -&gt; O </t>
  </si>
  <si>
    <t>Critical Path (46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</si>
</sst>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/>
    <xf numFmtId="0" fontId="2" fillId="2" borderId="0" xfId="0" applyFont="1" applyFill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3" fillId="0" borderId="2" xfId="0" applyFont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7</xdr:row>
          <xdr:rowOff>38100</xdr:rowOff>
        </xdr:from>
        <xdr:to>
          <xdr:col>30</xdr:col>
          <xdr:colOff>556260</xdr:colOff>
          <xdr:row>28</xdr:row>
          <xdr:rowOff>167640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DB351408-4905-5751-5D12-CD663703A0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M$21" spid="_x0000_s10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911840" y="1546860"/>
              <a:ext cx="10309860" cy="42062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75364</xdr:colOff>
      <xdr:row>31</xdr:row>
      <xdr:rowOff>75361</xdr:rowOff>
    </xdr:from>
    <xdr:to>
      <xdr:col>56</xdr:col>
      <xdr:colOff>587523</xdr:colOff>
      <xdr:row>53</xdr:row>
      <xdr:rowOff>99779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4A0B39-FAC7-C4E6-9D56-4E513BD98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529" y="6087625"/>
          <a:ext cx="10376291" cy="4261473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75363</xdr:rowOff>
    </xdr:from>
    <xdr:to>
      <xdr:col>5</xdr:col>
      <xdr:colOff>25121</xdr:colOff>
      <xdr:row>9</xdr:row>
      <xdr:rowOff>75363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A59AE33-6BD5-1A9C-B1FE-BB87624AF2D8}"/>
            </a:ext>
          </a:extLst>
        </xdr:cNvPr>
        <xdr:cNvCxnSpPr/>
      </xdr:nvCxnSpPr>
      <xdr:spPr>
        <a:xfrm>
          <a:off x="1063451" y="1817077"/>
          <a:ext cx="2763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118905</xdr:colOff>
      <xdr:row>9</xdr:row>
      <xdr:rowOff>77038</xdr:rowOff>
    </xdr:from>
    <xdr:to>
      <xdr:col>9</xdr:col>
      <xdr:colOff>10047</xdr:colOff>
      <xdr:row>9</xdr:row>
      <xdr:rowOff>77038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0D1E21E-D816-4006-BC5D-0E8677485130}"/>
            </a:ext>
          </a:extLst>
        </xdr:cNvPr>
        <xdr:cNvCxnSpPr/>
      </xdr:nvCxnSpPr>
      <xdr:spPr>
        <a:xfrm>
          <a:off x="1735015" y="1818752"/>
          <a:ext cx="2763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221064</xdr:colOff>
      <xdr:row>9</xdr:row>
      <xdr:rowOff>78713</xdr:rowOff>
    </xdr:from>
    <xdr:to>
      <xdr:col>13</xdr:col>
      <xdr:colOff>45217</xdr:colOff>
      <xdr:row>9</xdr:row>
      <xdr:rowOff>78713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11EBA18-E871-4354-9B68-13F7DE8F23A3}"/>
            </a:ext>
          </a:extLst>
        </xdr:cNvPr>
        <xdr:cNvCxnSpPr/>
      </xdr:nvCxnSpPr>
      <xdr:spPr>
        <a:xfrm>
          <a:off x="2523811" y="1820427"/>
          <a:ext cx="2763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10048</xdr:colOff>
      <xdr:row>9</xdr:row>
      <xdr:rowOff>93785</xdr:rowOff>
    </xdr:from>
    <xdr:to>
      <xdr:col>41</xdr:col>
      <xdr:colOff>10047</xdr:colOff>
      <xdr:row>9</xdr:row>
      <xdr:rowOff>93785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B66BD56-A139-4651-B835-758449A8855E}"/>
            </a:ext>
          </a:extLst>
        </xdr:cNvPr>
        <xdr:cNvCxnSpPr/>
      </xdr:nvCxnSpPr>
      <xdr:spPr>
        <a:xfrm>
          <a:off x="8911213" y="1835499"/>
          <a:ext cx="2763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28470</xdr:colOff>
      <xdr:row>9</xdr:row>
      <xdr:rowOff>103833</xdr:rowOff>
    </xdr:from>
    <xdr:to>
      <xdr:col>45</xdr:col>
      <xdr:colOff>20096</xdr:colOff>
      <xdr:row>9</xdr:row>
      <xdr:rowOff>103833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FFE11E-8FB0-4FF6-89B6-6D9950095986}"/>
            </a:ext>
          </a:extLst>
        </xdr:cNvPr>
        <xdr:cNvCxnSpPr/>
      </xdr:nvCxnSpPr>
      <xdr:spPr>
        <a:xfrm>
          <a:off x="9850734" y="1845547"/>
          <a:ext cx="2763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217714</xdr:colOff>
      <xdr:row>6</xdr:row>
      <xdr:rowOff>108857</xdr:rowOff>
    </xdr:from>
    <xdr:to>
      <xdr:col>17</xdr:col>
      <xdr:colOff>33494</xdr:colOff>
      <xdr:row>9</xdr:row>
      <xdr:rowOff>92110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D62CF5C-67BB-4299-B4EF-75FE3C3D35C2}"/>
            </a:ext>
          </a:extLst>
        </xdr:cNvPr>
        <xdr:cNvCxnSpPr/>
      </xdr:nvCxnSpPr>
      <xdr:spPr>
        <a:xfrm flipV="1">
          <a:off x="3357824" y="1272791"/>
          <a:ext cx="334945" cy="5610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219390</xdr:colOff>
      <xdr:row>6</xdr:row>
      <xdr:rowOff>150725</xdr:rowOff>
    </xdr:from>
    <xdr:to>
      <xdr:col>25</xdr:col>
      <xdr:colOff>16747</xdr:colOff>
      <xdr:row>9</xdr:row>
      <xdr:rowOff>127279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3A9A298-818F-4988-8410-4D2A8E29BA88}"/>
            </a:ext>
          </a:extLst>
        </xdr:cNvPr>
        <xdr:cNvCxnSpPr/>
      </xdr:nvCxnSpPr>
      <xdr:spPr>
        <a:xfrm flipV="1">
          <a:off x="5210071" y="1314659"/>
          <a:ext cx="249533" cy="5543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36844</xdr:colOff>
      <xdr:row>6</xdr:row>
      <xdr:rowOff>169147</xdr:rowOff>
    </xdr:from>
    <xdr:to>
      <xdr:col>32</xdr:col>
      <xdr:colOff>286377</xdr:colOff>
      <xdr:row>9</xdr:row>
      <xdr:rowOff>145701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787BBE0-5777-4434-ADC7-0F32029919D4}"/>
            </a:ext>
          </a:extLst>
        </xdr:cNvPr>
        <xdr:cNvCxnSpPr/>
      </xdr:nvCxnSpPr>
      <xdr:spPr>
        <a:xfrm flipV="1">
          <a:off x="7062317" y="1333081"/>
          <a:ext cx="249533" cy="5543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217714</xdr:colOff>
      <xdr:row>9</xdr:row>
      <xdr:rowOff>100484</xdr:rowOff>
    </xdr:from>
    <xdr:to>
      <xdr:col>17</xdr:col>
      <xdr:colOff>25120</xdr:colOff>
      <xdr:row>12</xdr:row>
      <xdr:rowOff>125604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92C0C7F-001A-461A-8A99-2706B8B2AE8D}"/>
            </a:ext>
          </a:extLst>
        </xdr:cNvPr>
        <xdr:cNvCxnSpPr/>
      </xdr:nvCxnSpPr>
      <xdr:spPr>
        <a:xfrm>
          <a:off x="3357824" y="1842198"/>
          <a:ext cx="326571" cy="602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236138</xdr:colOff>
      <xdr:row>9</xdr:row>
      <xdr:rowOff>142351</xdr:rowOff>
    </xdr:from>
    <xdr:to>
      <xdr:col>25</xdr:col>
      <xdr:colOff>0</xdr:colOff>
      <xdr:row>12</xdr:row>
      <xdr:rowOff>100483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BA32B10-1B9A-419B-9F33-ABADF693BBA9}"/>
            </a:ext>
          </a:extLst>
        </xdr:cNvPr>
        <xdr:cNvCxnSpPr/>
      </xdr:nvCxnSpPr>
      <xdr:spPr>
        <a:xfrm>
          <a:off x="5226819" y="1884065"/>
          <a:ext cx="216038" cy="5359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45219</xdr:colOff>
      <xdr:row>9</xdr:row>
      <xdr:rowOff>160773</xdr:rowOff>
    </xdr:from>
    <xdr:to>
      <xdr:col>32</xdr:col>
      <xdr:colOff>261257</xdr:colOff>
      <xdr:row>12</xdr:row>
      <xdr:rowOff>118905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7DCCF42-0BB5-4EB5-8282-93B212CCFFFF}"/>
            </a:ext>
          </a:extLst>
        </xdr:cNvPr>
        <xdr:cNvCxnSpPr/>
      </xdr:nvCxnSpPr>
      <xdr:spPr>
        <a:xfrm>
          <a:off x="7070692" y="1902487"/>
          <a:ext cx="216038" cy="5359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18421</xdr:colOff>
      <xdr:row>6</xdr:row>
      <xdr:rowOff>93785</xdr:rowOff>
    </xdr:from>
    <xdr:to>
      <xdr:col>21</xdr:col>
      <xdr:colOff>35168</xdr:colOff>
      <xdr:row>9</xdr:row>
      <xdr:rowOff>118906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314ED83-70EA-43A9-98E6-536D76E06788}"/>
            </a:ext>
          </a:extLst>
        </xdr:cNvPr>
        <xdr:cNvCxnSpPr/>
      </xdr:nvCxnSpPr>
      <xdr:spPr>
        <a:xfrm>
          <a:off x="4297344" y="1257719"/>
          <a:ext cx="326571" cy="602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221063</xdr:colOff>
      <xdr:row>6</xdr:row>
      <xdr:rowOff>120580</xdr:rowOff>
    </xdr:from>
    <xdr:to>
      <xdr:col>28</xdr:col>
      <xdr:colOff>200967</xdr:colOff>
      <xdr:row>9</xdr:row>
      <xdr:rowOff>92110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CFB4388-53F5-4A9B-ACEA-3EE7C15EAF58}"/>
            </a:ext>
          </a:extLst>
        </xdr:cNvPr>
        <xdr:cNvCxnSpPr/>
      </xdr:nvCxnSpPr>
      <xdr:spPr>
        <a:xfrm>
          <a:off x="6149590" y="1284514"/>
          <a:ext cx="222740" cy="5493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38517</xdr:colOff>
      <xdr:row>6</xdr:row>
      <xdr:rowOff>139002</xdr:rowOff>
    </xdr:from>
    <xdr:to>
      <xdr:col>36</xdr:col>
      <xdr:colOff>261257</xdr:colOff>
      <xdr:row>9</xdr:row>
      <xdr:rowOff>110532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622901E-684F-458A-B3F0-6EEE6CE254E9}"/>
            </a:ext>
          </a:extLst>
        </xdr:cNvPr>
        <xdr:cNvCxnSpPr/>
      </xdr:nvCxnSpPr>
      <xdr:spPr>
        <a:xfrm>
          <a:off x="8001836" y="1302936"/>
          <a:ext cx="222740" cy="5493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227762</xdr:colOff>
      <xdr:row>10</xdr:row>
      <xdr:rowOff>60290</xdr:rowOff>
    </xdr:from>
    <xdr:to>
      <xdr:col>21</xdr:col>
      <xdr:colOff>18422</xdr:colOff>
      <xdr:row>13</xdr:row>
      <xdr:rowOff>43543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812DD00A-972C-4FEC-AFB3-AE891EFD69F4}"/>
            </a:ext>
          </a:extLst>
        </xdr:cNvPr>
        <xdr:cNvCxnSpPr/>
      </xdr:nvCxnSpPr>
      <xdr:spPr>
        <a:xfrm flipV="1">
          <a:off x="4272224" y="1994598"/>
          <a:ext cx="334945" cy="5610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237813</xdr:colOff>
      <xdr:row>10</xdr:row>
      <xdr:rowOff>18422</xdr:rowOff>
    </xdr:from>
    <xdr:to>
      <xdr:col>29</xdr:col>
      <xdr:colOff>35170</xdr:colOff>
      <xdr:row>12</xdr:row>
      <xdr:rowOff>187569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9B007B-94F2-4243-ACA4-AB6EBD3AE774}"/>
            </a:ext>
          </a:extLst>
        </xdr:cNvPr>
        <xdr:cNvCxnSpPr/>
      </xdr:nvCxnSpPr>
      <xdr:spPr>
        <a:xfrm flipV="1">
          <a:off x="6166340" y="1952730"/>
          <a:ext cx="249533" cy="5543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13398</xdr:colOff>
      <xdr:row>10</xdr:row>
      <xdr:rowOff>36843</xdr:rowOff>
    </xdr:from>
    <xdr:to>
      <xdr:col>36</xdr:col>
      <xdr:colOff>262931</xdr:colOff>
      <xdr:row>13</xdr:row>
      <xdr:rowOff>13397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8AC4E4B-7E3B-48AA-A1A9-6493CBEFF51B}"/>
            </a:ext>
          </a:extLst>
        </xdr:cNvPr>
        <xdr:cNvCxnSpPr/>
      </xdr:nvCxnSpPr>
      <xdr:spPr>
        <a:xfrm flipV="1">
          <a:off x="7976717" y="1971151"/>
          <a:ext cx="249533" cy="5543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258076</xdr:colOff>
          <xdr:row>19</xdr:row>
          <xdr:rowOff>147710</xdr:rowOff>
        </xdr:from>
        <xdr:to>
          <xdr:col>57</xdr:col>
          <xdr:colOff>547804</xdr:colOff>
          <xdr:row>30</xdr:row>
          <xdr:rowOff>155330</xdr:rowOff>
        </xdr:to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096E06F6-09F3-0ABF-7009-B61ECE1F2EE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:$AW$15" spid="_x0000_s31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059702" y="3848853"/>
              <a:ext cx="10530673" cy="212614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458540</xdr:colOff>
          <xdr:row>5</xdr:row>
          <xdr:rowOff>98307</xdr:rowOff>
        </xdr:from>
        <xdr:to>
          <xdr:col>70</xdr:col>
          <xdr:colOff>549980</xdr:colOff>
          <xdr:row>18</xdr:row>
          <xdr:rowOff>113547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A32BE04C-0F77-724B-8D3E-D54FC6B69C7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:$AZ$17" spid="_x0000_s316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1444738" y="1078021"/>
              <a:ext cx="11094385" cy="25440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250767</xdr:colOff>
      <xdr:row>27</xdr:row>
      <xdr:rowOff>91441</xdr:rowOff>
    </xdr:from>
    <xdr:to>
      <xdr:col>38</xdr:col>
      <xdr:colOff>112150</xdr:colOff>
      <xdr:row>50</xdr:row>
      <xdr:rowOff>116330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FFDCC7-2647-2A31-084D-B5E28478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367" y="5300750"/>
          <a:ext cx="10357587" cy="416739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119883</xdr:colOff>
          <xdr:row>23</xdr:row>
          <xdr:rowOff>63918</xdr:rowOff>
        </xdr:from>
        <xdr:to>
          <xdr:col>43</xdr:col>
          <xdr:colOff>229479</xdr:colOff>
          <xdr:row>46</xdr:row>
          <xdr:rowOff>135979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15E458F8-E448-61F5-901B-986FCE18BB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AV$22" spid="_x0000_s20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33200" y="5695284"/>
              <a:ext cx="11641816" cy="434669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zoomScale="107" zoomScaleNormal="107" workbookViewId="0">
      <selection activeCell="D16" sqref="D16"/>
    </sheetView>
  </sheetViews>
  <sheetFormatPr defaultRowHeight="15.6" x14ac:dyDescent="0.3"/>
  <cols>
    <col min="1" max="1" width="6.109375" style="2" bestFit="1" customWidth="1"/>
    <col min="2" max="2" width="57.33203125" style="2" bestFit="1" customWidth="1"/>
    <col min="3" max="3" width="14.33203125" style="2" bestFit="1" customWidth="1"/>
    <col min="4" max="4" width="12.109375" style="2" bestFit="1" customWidth="1"/>
    <col min="5" max="5" width="10.5546875" style="2" customWidth="1"/>
    <col min="6" max="6" width="12.33203125" style="2" customWidth="1"/>
    <col min="7" max="7" width="11.88671875" style="2" customWidth="1"/>
    <col min="8" max="8" width="3.77734375" style="2" bestFit="1" customWidth="1"/>
    <col min="9" max="9" width="3.88671875" style="2" bestFit="1" customWidth="1"/>
    <col min="10" max="11" width="3.77734375" style="2" bestFit="1" customWidth="1"/>
    <col min="12" max="12" width="3.6640625" style="2" bestFit="1" customWidth="1"/>
    <col min="13" max="13" width="6.6640625" style="2" bestFit="1" customWidth="1"/>
    <col min="14" max="16384" width="8.88671875" style="2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5" customFormat="1" ht="16.05" customHeight="1" x14ac:dyDescent="0.3">
      <c r="A2" s="6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5" customHeight="1" x14ac:dyDescent="0.3">
      <c r="A3" s="1" t="s">
        <v>11</v>
      </c>
      <c r="B3" s="3" t="s">
        <v>40</v>
      </c>
      <c r="C3" s="1" t="s">
        <v>12</v>
      </c>
      <c r="D3" s="1" t="s">
        <v>13</v>
      </c>
      <c r="E3" s="1">
        <v>3</v>
      </c>
      <c r="F3" s="1">
        <v>4</v>
      </c>
      <c r="G3" s="1">
        <v>5</v>
      </c>
      <c r="H3" s="1">
        <f>ROUND((E3+4*F3+G3)/6,0)</f>
        <v>4</v>
      </c>
      <c r="I3" s="1">
        <v>0</v>
      </c>
      <c r="J3" s="1">
        <f>I3+H3</f>
        <v>4</v>
      </c>
      <c r="K3" s="1">
        <f t="shared" ref="K3:K6" si="0">L3-H3</f>
        <v>0</v>
      </c>
      <c r="L3" s="1">
        <f>K4</f>
        <v>4</v>
      </c>
      <c r="M3" s="1">
        <f>K3-I3</f>
        <v>0</v>
      </c>
    </row>
    <row r="4" spans="1:13" ht="15" customHeight="1" x14ac:dyDescent="0.3">
      <c r="A4" s="1" t="s">
        <v>13</v>
      </c>
      <c r="B4" s="3" t="s">
        <v>41</v>
      </c>
      <c r="C4" s="1" t="s">
        <v>11</v>
      </c>
      <c r="D4" s="1" t="s">
        <v>14</v>
      </c>
      <c r="E4" s="1">
        <v>3</v>
      </c>
      <c r="F4" s="1">
        <v>4</v>
      </c>
      <c r="G4" s="1">
        <v>5</v>
      </c>
      <c r="H4" s="1">
        <f t="shared" ref="H4:H21" si="1">ROUND((E4+4*F4+G4)/6,0)</f>
        <v>4</v>
      </c>
      <c r="I4" s="1">
        <f>J3</f>
        <v>4</v>
      </c>
      <c r="J4" s="1">
        <f t="shared" ref="J4:J21" si="2">I4+H4</f>
        <v>8</v>
      </c>
      <c r="K4" s="1">
        <f t="shared" si="0"/>
        <v>4</v>
      </c>
      <c r="L4" s="1">
        <f>K5</f>
        <v>8</v>
      </c>
      <c r="M4" s="1">
        <f t="shared" ref="M4:M21" si="3">K4-I4</f>
        <v>0</v>
      </c>
    </row>
    <row r="5" spans="1:13" ht="15" customHeight="1" x14ac:dyDescent="0.3">
      <c r="A5" s="1" t="s">
        <v>14</v>
      </c>
      <c r="B5" s="3" t="s">
        <v>15</v>
      </c>
      <c r="C5" s="1" t="s">
        <v>13</v>
      </c>
      <c r="D5" s="1" t="s">
        <v>16</v>
      </c>
      <c r="E5" s="1">
        <v>2</v>
      </c>
      <c r="F5" s="1">
        <v>3</v>
      </c>
      <c r="G5" s="1">
        <v>7</v>
      </c>
      <c r="H5" s="1">
        <f t="shared" si="1"/>
        <v>4</v>
      </c>
      <c r="I5" s="1">
        <f>J4</f>
        <v>8</v>
      </c>
      <c r="J5" s="1">
        <f>I5+H5</f>
        <v>12</v>
      </c>
      <c r="K5" s="1">
        <f t="shared" si="0"/>
        <v>8</v>
      </c>
      <c r="L5" s="1">
        <f>K6</f>
        <v>12</v>
      </c>
      <c r="M5" s="1">
        <f t="shared" si="3"/>
        <v>0</v>
      </c>
    </row>
    <row r="6" spans="1:13" ht="15" customHeight="1" x14ac:dyDescent="0.3">
      <c r="A6" s="1" t="s">
        <v>16</v>
      </c>
      <c r="B6" s="3" t="s">
        <v>17</v>
      </c>
      <c r="C6" s="1" t="s">
        <v>14</v>
      </c>
      <c r="D6" s="1" t="s">
        <v>18</v>
      </c>
      <c r="E6" s="1">
        <v>1</v>
      </c>
      <c r="F6" s="1">
        <v>2</v>
      </c>
      <c r="G6" s="1">
        <v>5</v>
      </c>
      <c r="H6" s="1">
        <f t="shared" si="1"/>
        <v>2</v>
      </c>
      <c r="I6" s="1">
        <f>J5</f>
        <v>12</v>
      </c>
      <c r="J6" s="1">
        <f t="shared" si="2"/>
        <v>14</v>
      </c>
      <c r="K6" s="1">
        <f t="shared" si="0"/>
        <v>12</v>
      </c>
      <c r="L6" s="1">
        <f>MIN(K8:K9)</f>
        <v>14</v>
      </c>
      <c r="M6" s="1">
        <f t="shared" si="3"/>
        <v>0</v>
      </c>
    </row>
    <row r="7" spans="1:13" s="5" customFormat="1" ht="16.05" customHeight="1" x14ac:dyDescent="0.3">
      <c r="A7" s="6" t="s">
        <v>19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5" customHeight="1" x14ac:dyDescent="0.3">
      <c r="A8" s="1" t="s">
        <v>20</v>
      </c>
      <c r="B8" s="3" t="s">
        <v>21</v>
      </c>
      <c r="C8" s="1" t="s">
        <v>16</v>
      </c>
      <c r="D8" s="1" t="s">
        <v>22</v>
      </c>
      <c r="E8" s="1">
        <v>3</v>
      </c>
      <c r="F8" s="1">
        <v>4</v>
      </c>
      <c r="G8" s="1">
        <v>9</v>
      </c>
      <c r="H8" s="1">
        <f t="shared" si="1"/>
        <v>5</v>
      </c>
      <c r="I8" s="1">
        <f>J6</f>
        <v>14</v>
      </c>
      <c r="J8" s="1">
        <f t="shared" si="2"/>
        <v>19</v>
      </c>
      <c r="K8" s="1">
        <f t="shared" ref="K8:K10" si="4">L8-H8</f>
        <v>14</v>
      </c>
      <c r="L8" s="1">
        <f>K10</f>
        <v>19</v>
      </c>
      <c r="M8" s="1">
        <f t="shared" si="3"/>
        <v>0</v>
      </c>
    </row>
    <row r="9" spans="1:13" ht="15" customHeight="1" x14ac:dyDescent="0.3">
      <c r="A9" s="1" t="s">
        <v>23</v>
      </c>
      <c r="B9" s="3" t="s">
        <v>24</v>
      </c>
      <c r="C9" s="1" t="s">
        <v>16</v>
      </c>
      <c r="D9" s="1" t="s">
        <v>22</v>
      </c>
      <c r="E9" s="1">
        <v>3</v>
      </c>
      <c r="F9" s="1">
        <v>4</v>
      </c>
      <c r="G9" s="1">
        <v>5</v>
      </c>
      <c r="H9" s="1">
        <f t="shared" si="1"/>
        <v>4</v>
      </c>
      <c r="I9" s="1">
        <f>J6</f>
        <v>14</v>
      </c>
      <c r="J9" s="1">
        <f t="shared" si="2"/>
        <v>18</v>
      </c>
      <c r="K9" s="1">
        <f t="shared" si="4"/>
        <v>15</v>
      </c>
      <c r="L9" s="1">
        <f>K10</f>
        <v>19</v>
      </c>
      <c r="M9" s="1">
        <f t="shared" si="3"/>
        <v>1</v>
      </c>
    </row>
    <row r="10" spans="1:13" ht="15" customHeight="1" x14ac:dyDescent="0.3">
      <c r="A10" s="1" t="s">
        <v>22</v>
      </c>
      <c r="B10" s="3" t="s">
        <v>42</v>
      </c>
      <c r="C10" s="1" t="s">
        <v>18</v>
      </c>
      <c r="D10" s="1" t="s">
        <v>51</v>
      </c>
      <c r="E10" s="1">
        <v>2</v>
      </c>
      <c r="F10" s="1">
        <v>3</v>
      </c>
      <c r="G10" s="1">
        <v>5</v>
      </c>
      <c r="H10" s="1">
        <f t="shared" si="1"/>
        <v>3</v>
      </c>
      <c r="I10" s="1">
        <f>MAX(J8:J9)</f>
        <v>19</v>
      </c>
      <c r="J10" s="1">
        <f t="shared" si="2"/>
        <v>22</v>
      </c>
      <c r="K10" s="1">
        <f t="shared" si="4"/>
        <v>19</v>
      </c>
      <c r="L10" s="1">
        <f>MIN(K12:K13)</f>
        <v>22</v>
      </c>
      <c r="M10" s="1">
        <f t="shared" si="3"/>
        <v>0</v>
      </c>
    </row>
    <row r="11" spans="1:13" s="5" customFormat="1" ht="16.05" customHeight="1" x14ac:dyDescent="0.3">
      <c r="A11" s="6" t="s">
        <v>25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 customHeight="1" x14ac:dyDescent="0.3">
      <c r="A12" s="1" t="s">
        <v>50</v>
      </c>
      <c r="B12" s="3" t="s">
        <v>48</v>
      </c>
      <c r="C12" s="1" t="s">
        <v>22</v>
      </c>
      <c r="D12" s="1" t="s">
        <v>28</v>
      </c>
      <c r="E12" s="1">
        <v>2</v>
      </c>
      <c r="F12" s="1">
        <v>3</v>
      </c>
      <c r="G12" s="1">
        <v>8</v>
      </c>
      <c r="H12" s="1">
        <f t="shared" si="1"/>
        <v>4</v>
      </c>
      <c r="I12" s="1">
        <f>J10</f>
        <v>22</v>
      </c>
      <c r="J12" s="1">
        <f t="shared" si="2"/>
        <v>26</v>
      </c>
      <c r="K12" s="1">
        <f t="shared" ref="K12:K14" si="5">L12-H12</f>
        <v>23</v>
      </c>
      <c r="L12" s="1">
        <f>K14</f>
        <v>27</v>
      </c>
      <c r="M12" s="1">
        <f t="shared" si="3"/>
        <v>1</v>
      </c>
    </row>
    <row r="13" spans="1:13" ht="15" customHeight="1" x14ac:dyDescent="0.3">
      <c r="A13" s="1" t="s">
        <v>26</v>
      </c>
      <c r="B13" s="3" t="s">
        <v>29</v>
      </c>
      <c r="C13" s="1" t="s">
        <v>22</v>
      </c>
      <c r="D13" s="1" t="s">
        <v>28</v>
      </c>
      <c r="E13" s="1">
        <v>3</v>
      </c>
      <c r="F13" s="1">
        <v>5</v>
      </c>
      <c r="G13" s="1">
        <v>9</v>
      </c>
      <c r="H13" s="1">
        <f t="shared" si="1"/>
        <v>5</v>
      </c>
      <c r="I13" s="1">
        <f>J10</f>
        <v>22</v>
      </c>
      <c r="J13" s="1">
        <f t="shared" si="2"/>
        <v>27</v>
      </c>
      <c r="K13" s="1">
        <f t="shared" si="5"/>
        <v>22</v>
      </c>
      <c r="L13" s="1">
        <f>K14</f>
        <v>27</v>
      </c>
      <c r="M13" s="1">
        <f t="shared" si="3"/>
        <v>0</v>
      </c>
    </row>
    <row r="14" spans="1:13" ht="15" customHeight="1" x14ac:dyDescent="0.3">
      <c r="A14" s="1" t="s">
        <v>28</v>
      </c>
      <c r="B14" s="3" t="s">
        <v>43</v>
      </c>
      <c r="C14" s="1" t="s">
        <v>51</v>
      </c>
      <c r="D14" s="1" t="s">
        <v>52</v>
      </c>
      <c r="E14" s="1">
        <v>2</v>
      </c>
      <c r="F14" s="1">
        <v>4</v>
      </c>
      <c r="G14" s="1">
        <v>7</v>
      </c>
      <c r="H14" s="1">
        <f t="shared" si="1"/>
        <v>4</v>
      </c>
      <c r="I14" s="1">
        <f>MAX(J12:J13)</f>
        <v>27</v>
      </c>
      <c r="J14" s="1">
        <f t="shared" si="2"/>
        <v>31</v>
      </c>
      <c r="K14" s="1">
        <f t="shared" si="5"/>
        <v>27</v>
      </c>
      <c r="L14" s="1">
        <f>MIN(K16:K17)</f>
        <v>31</v>
      </c>
      <c r="M14" s="1">
        <f t="shared" si="3"/>
        <v>0</v>
      </c>
    </row>
    <row r="15" spans="1:13" s="5" customFormat="1" ht="16.05" customHeight="1" x14ac:dyDescent="0.3">
      <c r="A15" s="6" t="s">
        <v>30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" customHeight="1" x14ac:dyDescent="0.3">
      <c r="A16" s="1" t="s">
        <v>27</v>
      </c>
      <c r="B16" s="3" t="s">
        <v>32</v>
      </c>
      <c r="C16" s="1" t="s">
        <v>28</v>
      </c>
      <c r="D16" s="1" t="s">
        <v>34</v>
      </c>
      <c r="E16" s="1">
        <v>2</v>
      </c>
      <c r="F16" s="1">
        <v>3</v>
      </c>
      <c r="G16" s="1">
        <v>5</v>
      </c>
      <c r="H16" s="1">
        <f t="shared" si="1"/>
        <v>3</v>
      </c>
      <c r="I16" s="1">
        <f>J14</f>
        <v>31</v>
      </c>
      <c r="J16" s="1">
        <f t="shared" si="2"/>
        <v>34</v>
      </c>
      <c r="K16" s="1">
        <f t="shared" ref="K16:K19" si="6">L16-H16</f>
        <v>32</v>
      </c>
      <c r="L16" s="1">
        <f>K18</f>
        <v>35</v>
      </c>
      <c r="M16" s="1">
        <f t="shared" si="3"/>
        <v>1</v>
      </c>
    </row>
    <row r="17" spans="1:13" ht="15" customHeight="1" x14ac:dyDescent="0.3">
      <c r="A17" s="1" t="s">
        <v>31</v>
      </c>
      <c r="B17" s="3" t="s">
        <v>35</v>
      </c>
      <c r="C17" s="1" t="s">
        <v>28</v>
      </c>
      <c r="D17" s="1" t="s">
        <v>34</v>
      </c>
      <c r="E17" s="1">
        <v>2</v>
      </c>
      <c r="F17" s="1">
        <v>4</v>
      </c>
      <c r="G17" s="1">
        <v>6</v>
      </c>
      <c r="H17" s="1">
        <f t="shared" si="1"/>
        <v>4</v>
      </c>
      <c r="I17" s="1">
        <f>J14</f>
        <v>31</v>
      </c>
      <c r="J17" s="1">
        <f t="shared" si="2"/>
        <v>35</v>
      </c>
      <c r="K17" s="1">
        <f t="shared" si="6"/>
        <v>31</v>
      </c>
      <c r="L17" s="1">
        <f>K18</f>
        <v>35</v>
      </c>
      <c r="M17" s="1">
        <f t="shared" si="3"/>
        <v>0</v>
      </c>
    </row>
    <row r="18" spans="1:13" ht="15" customHeight="1" x14ac:dyDescent="0.3">
      <c r="A18" s="1" t="s">
        <v>34</v>
      </c>
      <c r="B18" s="3" t="s">
        <v>44</v>
      </c>
      <c r="C18" s="1" t="s">
        <v>52</v>
      </c>
      <c r="D18" s="1" t="s">
        <v>33</v>
      </c>
      <c r="E18" s="1">
        <v>1</v>
      </c>
      <c r="F18" s="1">
        <v>3</v>
      </c>
      <c r="G18" s="1">
        <v>5</v>
      </c>
      <c r="H18" s="1">
        <f t="shared" si="1"/>
        <v>3</v>
      </c>
      <c r="I18" s="1">
        <f>MAX(J16:J17)</f>
        <v>35</v>
      </c>
      <c r="J18" s="1">
        <f t="shared" si="2"/>
        <v>38</v>
      </c>
      <c r="K18" s="1">
        <f t="shared" si="6"/>
        <v>35</v>
      </c>
      <c r="L18" s="1">
        <f>K19</f>
        <v>38</v>
      </c>
      <c r="M18" s="1">
        <f>K18-I18</f>
        <v>0</v>
      </c>
    </row>
    <row r="19" spans="1:13" ht="15" customHeight="1" x14ac:dyDescent="0.3">
      <c r="A19" s="1" t="s">
        <v>33</v>
      </c>
      <c r="B19" s="3" t="s">
        <v>37</v>
      </c>
      <c r="C19" s="1" t="s">
        <v>34</v>
      </c>
      <c r="D19" s="1" t="s">
        <v>36</v>
      </c>
      <c r="E19" s="1">
        <v>2</v>
      </c>
      <c r="F19" s="1">
        <v>4</v>
      </c>
      <c r="G19" s="1">
        <v>5</v>
      </c>
      <c r="H19" s="1">
        <f t="shared" si="1"/>
        <v>4</v>
      </c>
      <c r="I19" s="1">
        <f>J18</f>
        <v>38</v>
      </c>
      <c r="J19" s="1">
        <f t="shared" si="2"/>
        <v>42</v>
      </c>
      <c r="K19" s="1">
        <f t="shared" si="6"/>
        <v>38</v>
      </c>
      <c r="L19" s="1">
        <f>K21</f>
        <v>42</v>
      </c>
      <c r="M19" s="1">
        <f t="shared" si="3"/>
        <v>0</v>
      </c>
    </row>
    <row r="20" spans="1:13" s="5" customFormat="1" ht="16.05" customHeight="1" x14ac:dyDescent="0.3">
      <c r="A20" s="6" t="s">
        <v>38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5" customHeight="1" x14ac:dyDescent="0.3">
      <c r="A21" s="1" t="s">
        <v>36</v>
      </c>
      <c r="B21" s="3" t="s">
        <v>39</v>
      </c>
      <c r="C21" s="1" t="s">
        <v>33</v>
      </c>
      <c r="D21" s="1" t="s">
        <v>12</v>
      </c>
      <c r="E21" s="1">
        <v>3</v>
      </c>
      <c r="F21" s="1">
        <v>4</v>
      </c>
      <c r="G21" s="1">
        <v>6</v>
      </c>
      <c r="H21" s="1">
        <f t="shared" si="1"/>
        <v>4</v>
      </c>
      <c r="I21" s="1">
        <f>J19</f>
        <v>42</v>
      </c>
      <c r="J21" s="1">
        <f t="shared" si="2"/>
        <v>46</v>
      </c>
      <c r="K21" s="1">
        <f>L21-H21</f>
        <v>42</v>
      </c>
      <c r="L21" s="1">
        <f>J21</f>
        <v>46</v>
      </c>
      <c r="M21" s="1">
        <f t="shared" si="3"/>
        <v>0</v>
      </c>
    </row>
    <row r="23" spans="1:13" x14ac:dyDescent="0.3">
      <c r="A23" s="4"/>
    </row>
    <row r="24" spans="1:13" x14ac:dyDescent="0.3">
      <c r="A24" s="4"/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DF39-6473-4F69-A346-5D861C725A07}">
  <dimension ref="B3:AZ16"/>
  <sheetViews>
    <sheetView showGridLines="0" tabSelected="1" topLeftCell="A4" zoomScale="91" zoomScaleNormal="91" workbookViewId="0">
      <selection activeCell="T20" sqref="T20"/>
    </sheetView>
  </sheetViews>
  <sheetFormatPr defaultRowHeight="15" x14ac:dyDescent="0.25"/>
  <cols>
    <col min="1" max="1" width="2" style="8" customWidth="1"/>
    <col min="2" max="4" width="2.21875" style="8" bestFit="1" customWidth="1"/>
    <col min="5" max="5" width="3.6640625" style="8" customWidth="1"/>
    <col min="6" max="8" width="2.21875" style="8" bestFit="1" customWidth="1"/>
    <col min="9" max="9" width="3.44140625" style="8" customWidth="1"/>
    <col min="10" max="11" width="2.21875" style="8" bestFit="1" customWidth="1"/>
    <col min="12" max="12" width="3.44140625" style="8" bestFit="1" customWidth="1"/>
    <col min="13" max="13" width="3.21875" style="8" customWidth="1"/>
    <col min="14" max="14" width="3.44140625" style="8" bestFit="1" customWidth="1"/>
    <col min="15" max="15" width="2.21875" style="8" bestFit="1" customWidth="1"/>
    <col min="16" max="16" width="3.44140625" style="8" bestFit="1" customWidth="1"/>
    <col min="17" max="17" width="4.109375" style="8" customWidth="1"/>
    <col min="18" max="18" width="3.44140625" style="8" bestFit="1" customWidth="1"/>
    <col min="19" max="19" width="2.21875" style="8" bestFit="1" customWidth="1"/>
    <col min="20" max="20" width="3.44140625" style="8" bestFit="1" customWidth="1"/>
    <col min="21" max="21" width="4.5546875" style="8" customWidth="1"/>
    <col min="22" max="22" width="3.5546875" style="8" bestFit="1" customWidth="1"/>
    <col min="23" max="23" width="2.33203125" style="8" bestFit="1" customWidth="1"/>
    <col min="24" max="24" width="3.5546875" style="8" bestFit="1" customWidth="1"/>
    <col min="25" max="25" width="3.109375" style="8" customWidth="1"/>
    <col min="26" max="26" width="3.6640625" style="8" customWidth="1"/>
    <col min="27" max="27" width="3.44140625" style="8" customWidth="1"/>
    <col min="28" max="28" width="3.5546875" style="8" bestFit="1" customWidth="1"/>
    <col min="29" max="29" width="3.109375" style="8" customWidth="1"/>
    <col min="30" max="30" width="3.5546875" style="8" bestFit="1" customWidth="1"/>
    <col min="31" max="31" width="2.33203125" style="8" bestFit="1" customWidth="1"/>
    <col min="32" max="32" width="3.5546875" style="8" bestFit="1" customWidth="1"/>
    <col min="33" max="33" width="4.33203125" style="8" customWidth="1"/>
    <col min="34" max="34" width="3.5546875" style="8" bestFit="1" customWidth="1"/>
    <col min="35" max="35" width="2.33203125" style="8" bestFit="1" customWidth="1"/>
    <col min="36" max="36" width="3.5546875" style="8" bestFit="1" customWidth="1"/>
    <col min="37" max="37" width="4.33203125" style="8" customWidth="1"/>
    <col min="38" max="38" width="3.5546875" style="8" bestFit="1" customWidth="1"/>
    <col min="39" max="39" width="2.33203125" style="8" bestFit="1" customWidth="1"/>
    <col min="40" max="40" width="3.5546875" style="8" bestFit="1" customWidth="1"/>
    <col min="41" max="41" width="4" style="8" customWidth="1"/>
    <col min="42" max="42" width="3.5546875" style="8" bestFit="1" customWidth="1"/>
    <col min="43" max="43" width="2.33203125" style="8" bestFit="1" customWidth="1"/>
    <col min="44" max="44" width="3.5546875" style="8" bestFit="1" customWidth="1"/>
    <col min="45" max="45" width="4.109375" style="8" customWidth="1"/>
    <col min="46" max="46" width="3.5546875" style="8" bestFit="1" customWidth="1"/>
    <col min="47" max="47" width="2.33203125" style="8" bestFit="1" customWidth="1"/>
    <col min="48" max="48" width="3.5546875" style="8" bestFit="1" customWidth="1"/>
    <col min="49" max="49" width="3.44140625" style="8" customWidth="1"/>
    <col min="50" max="50" width="1.109375" style="8" customWidth="1"/>
    <col min="51" max="51" width="2.33203125" style="8" bestFit="1" customWidth="1"/>
    <col min="52" max="52" width="3.5546875" style="8" bestFit="1" customWidth="1"/>
    <col min="53" max="16384" width="8.88671875" style="8"/>
  </cols>
  <sheetData>
    <row r="3" spans="2:52" ht="15.6" customHeight="1" x14ac:dyDescent="0.25"/>
    <row r="5" spans="2:52" ht="15.6" thickBot="1" x14ac:dyDescent="0.3"/>
    <row r="6" spans="2:52" x14ac:dyDescent="0.25">
      <c r="R6" s="29">
        <f>'PERT Schedule'!$I$8</f>
        <v>14</v>
      </c>
      <c r="S6" s="30">
        <f>'PERT Schedule'!$H$8</f>
        <v>5</v>
      </c>
      <c r="T6" s="31">
        <f>'PERT Schedule'!$J$8</f>
        <v>19</v>
      </c>
      <c r="Z6" s="13">
        <f>'PERT Schedule'!$I$12</f>
        <v>22</v>
      </c>
      <c r="AA6" s="13">
        <f>'PERT Schedule'!$H$12</f>
        <v>4</v>
      </c>
      <c r="AB6" s="13">
        <f>'PERT Schedule'!$J$12</f>
        <v>26</v>
      </c>
      <c r="AH6" s="13">
        <f>'PERT Schedule'!$I$16</f>
        <v>31</v>
      </c>
      <c r="AI6" s="13">
        <f>'PERT Schedule'!$H$16</f>
        <v>3</v>
      </c>
      <c r="AJ6" s="13">
        <f>'PERT Schedule'!$J$16</f>
        <v>34</v>
      </c>
    </row>
    <row r="7" spans="2:52" x14ac:dyDescent="0.25">
      <c r="R7" s="32" t="s">
        <v>20</v>
      </c>
      <c r="S7" s="22"/>
      <c r="T7" s="26"/>
      <c r="Z7" s="21" t="s">
        <v>50</v>
      </c>
      <c r="AA7" s="22"/>
      <c r="AB7" s="23"/>
      <c r="AH7" s="21" t="s">
        <v>27</v>
      </c>
      <c r="AI7" s="22"/>
      <c r="AJ7" s="23"/>
    </row>
    <row r="8" spans="2:52" ht="15.6" thickBot="1" x14ac:dyDescent="0.3">
      <c r="R8" s="33">
        <f>'PERT Schedule'!$K$8</f>
        <v>14</v>
      </c>
      <c r="S8" s="27">
        <f>'PERT Schedule'!$M$8</f>
        <v>0</v>
      </c>
      <c r="T8" s="28">
        <f>'PERT Schedule'!$L$8</f>
        <v>19</v>
      </c>
      <c r="Z8" s="13">
        <f>'PERT Schedule'!$K$12</f>
        <v>23</v>
      </c>
      <c r="AA8" s="13">
        <f>'PERT Schedule'!$M$12</f>
        <v>1</v>
      </c>
      <c r="AB8" s="13">
        <f>'PERT Schedule'!$L$12</f>
        <v>27</v>
      </c>
      <c r="AH8" s="13">
        <f>'PERT Schedule'!$K$16</f>
        <v>32</v>
      </c>
      <c r="AI8" s="13">
        <f>'PERT Schedule'!$M$16</f>
        <v>1</v>
      </c>
      <c r="AJ8" s="13">
        <f>'PERT Schedule'!$L$16</f>
        <v>35</v>
      </c>
    </row>
    <row r="9" spans="2:52" x14ac:dyDescent="0.25">
      <c r="B9" s="29">
        <f>'PERT Schedule'!$I$3</f>
        <v>0</v>
      </c>
      <c r="C9" s="30">
        <f>'PERT Schedule'!$H$3</f>
        <v>4</v>
      </c>
      <c r="D9" s="31">
        <f>'PERT Schedule'!$J$3</f>
        <v>4</v>
      </c>
      <c r="F9" s="29">
        <f>'PERT Schedule'!$I$4</f>
        <v>4</v>
      </c>
      <c r="G9" s="30">
        <f>'PERT Schedule'!$H$4</f>
        <v>4</v>
      </c>
      <c r="H9" s="31">
        <f>'PERT Schedule'!$J$4</f>
        <v>8</v>
      </c>
      <c r="J9" s="29">
        <f>'PERT Schedule'!$I$5</f>
        <v>8</v>
      </c>
      <c r="K9" s="30">
        <f>'PERT Schedule'!$H$5</f>
        <v>4</v>
      </c>
      <c r="L9" s="31">
        <f>'PERT Schedule'!$J$5</f>
        <v>12</v>
      </c>
      <c r="N9" s="29">
        <f>'PERT Schedule'!$I$6</f>
        <v>12</v>
      </c>
      <c r="O9" s="30">
        <f>'PERT Schedule'!$H$6</f>
        <v>2</v>
      </c>
      <c r="P9" s="31">
        <f>'PERT Schedule'!$J$6</f>
        <v>14</v>
      </c>
      <c r="V9" s="29">
        <f>'PERT Schedule'!$I$10</f>
        <v>19</v>
      </c>
      <c r="W9" s="30">
        <f>'PERT Schedule'!$H$10</f>
        <v>3</v>
      </c>
      <c r="X9" s="31">
        <f>'PERT Schedule'!$J$10</f>
        <v>22</v>
      </c>
      <c r="AD9" s="29">
        <f>'PERT Schedule'!$I$14</f>
        <v>27</v>
      </c>
      <c r="AE9" s="30">
        <f>'PERT Schedule'!$H$14</f>
        <v>4</v>
      </c>
      <c r="AF9" s="31">
        <f>'PERT Schedule'!$J$14</f>
        <v>31</v>
      </c>
      <c r="AL9" s="29">
        <f>'PERT Schedule'!$I$18</f>
        <v>35</v>
      </c>
      <c r="AM9" s="30">
        <f>'PERT Schedule'!$H$18</f>
        <v>3</v>
      </c>
      <c r="AN9" s="31">
        <f>'PERT Schedule'!$J$18</f>
        <v>38</v>
      </c>
      <c r="AP9" s="29">
        <f>'PERT Schedule'!$I$19</f>
        <v>38</v>
      </c>
      <c r="AQ9" s="30">
        <f>'PERT Schedule'!$H$19</f>
        <v>4</v>
      </c>
      <c r="AR9" s="31">
        <f>'PERT Schedule'!$J$19</f>
        <v>42</v>
      </c>
      <c r="AT9" s="29">
        <f>'PERT Schedule'!$I$21</f>
        <v>42</v>
      </c>
      <c r="AU9" s="30">
        <f>'PERT Schedule'!$H$21</f>
        <v>4</v>
      </c>
      <c r="AV9" s="31">
        <f>'PERT Schedule'!$J$21</f>
        <v>46</v>
      </c>
      <c r="AX9" s="24"/>
      <c r="AY9" s="24"/>
      <c r="AZ9" s="24"/>
    </row>
    <row r="10" spans="2:52" x14ac:dyDescent="0.25">
      <c r="B10" s="32" t="s">
        <v>11</v>
      </c>
      <c r="C10" s="22"/>
      <c r="D10" s="26"/>
      <c r="F10" s="32" t="s">
        <v>13</v>
      </c>
      <c r="G10" s="22"/>
      <c r="H10" s="26"/>
      <c r="J10" s="32" t="s">
        <v>14</v>
      </c>
      <c r="K10" s="22"/>
      <c r="L10" s="26"/>
      <c r="N10" s="32" t="s">
        <v>16</v>
      </c>
      <c r="O10" s="22"/>
      <c r="P10" s="26"/>
      <c r="V10" s="32" t="s">
        <v>22</v>
      </c>
      <c r="W10" s="22"/>
      <c r="X10" s="26"/>
      <c r="AD10" s="32" t="s">
        <v>28</v>
      </c>
      <c r="AE10" s="22"/>
      <c r="AF10" s="26"/>
      <c r="AL10" s="32" t="s">
        <v>34</v>
      </c>
      <c r="AM10" s="22"/>
      <c r="AN10" s="26"/>
      <c r="AP10" s="32" t="s">
        <v>33</v>
      </c>
      <c r="AQ10" s="22"/>
      <c r="AR10" s="26"/>
      <c r="AT10" s="32" t="s">
        <v>36</v>
      </c>
      <c r="AU10" s="22"/>
      <c r="AV10" s="26"/>
      <c r="AX10" s="25"/>
      <c r="AY10" s="25"/>
      <c r="AZ10" s="25"/>
    </row>
    <row r="11" spans="2:52" ht="15.6" thickBot="1" x14ac:dyDescent="0.3">
      <c r="B11" s="33">
        <f>'PERT Schedule'!$K$3</f>
        <v>0</v>
      </c>
      <c r="C11" s="27">
        <f>'PERT Schedule'!$M$3</f>
        <v>0</v>
      </c>
      <c r="D11" s="28">
        <f>'PERT Schedule'!$L$3</f>
        <v>4</v>
      </c>
      <c r="F11" s="33">
        <f>'PERT Schedule'!$K$4</f>
        <v>4</v>
      </c>
      <c r="G11" s="27">
        <f>'PERT Schedule'!$M$4</f>
        <v>0</v>
      </c>
      <c r="H11" s="28">
        <f>'PERT Schedule'!$L$4</f>
        <v>8</v>
      </c>
      <c r="J11" s="33">
        <f>'PERT Schedule'!$K$5</f>
        <v>8</v>
      </c>
      <c r="K11" s="27">
        <f>'PERT Schedule'!$M$5</f>
        <v>0</v>
      </c>
      <c r="L11" s="28">
        <f>'PERT Schedule'!$L$5</f>
        <v>12</v>
      </c>
      <c r="N11" s="33">
        <f>'PERT Schedule'!$K$6</f>
        <v>12</v>
      </c>
      <c r="O11" s="27">
        <f>'PERT Schedule'!$M$6</f>
        <v>0</v>
      </c>
      <c r="P11" s="28">
        <f>'PERT Schedule'!$L$6</f>
        <v>14</v>
      </c>
      <c r="V11" s="33">
        <f>'PERT Schedule'!$K10</f>
        <v>19</v>
      </c>
      <c r="W11" s="27">
        <f>'PERT Schedule'!$M10</f>
        <v>0</v>
      </c>
      <c r="X11" s="28">
        <f>'PERT Schedule'!$L10</f>
        <v>22</v>
      </c>
      <c r="AD11" s="33">
        <f>'PERT Schedule'!$K$14</f>
        <v>27</v>
      </c>
      <c r="AE11" s="27">
        <f>'PERT Schedule'!$M$14</f>
        <v>0</v>
      </c>
      <c r="AF11" s="28">
        <f>'PERT Schedule'!$L$14</f>
        <v>31</v>
      </c>
      <c r="AL11" s="33">
        <f>'PERT Schedule'!$K$18</f>
        <v>35</v>
      </c>
      <c r="AM11" s="27">
        <f>'PERT Schedule'!$M$18</f>
        <v>0</v>
      </c>
      <c r="AN11" s="28">
        <f>'PERT Schedule'!$L$18</f>
        <v>38</v>
      </c>
      <c r="AP11" s="33">
        <f>'PERT Schedule'!$K$19</f>
        <v>38</v>
      </c>
      <c r="AQ11" s="27">
        <f>'PERT Schedule'!$M$19</f>
        <v>0</v>
      </c>
      <c r="AR11" s="28">
        <f>'PERT Schedule'!$L$19</f>
        <v>42</v>
      </c>
      <c r="AT11" s="33">
        <f>'PERT Schedule'!$K$21</f>
        <v>42</v>
      </c>
      <c r="AU11" s="27">
        <f>'PERT Schedule'!$M$21</f>
        <v>0</v>
      </c>
      <c r="AV11" s="28">
        <f>'PERT Schedule'!$L$21</f>
        <v>46</v>
      </c>
      <c r="AX11" s="24"/>
      <c r="AY11" s="24"/>
      <c r="AZ11" s="24"/>
    </row>
    <row r="12" spans="2:52" x14ac:dyDescent="0.25">
      <c r="R12" s="13">
        <f>'PERT Schedule'!$I$9</f>
        <v>14</v>
      </c>
      <c r="S12" s="13">
        <f>'PERT Schedule'!$H$9</f>
        <v>4</v>
      </c>
      <c r="T12" s="13">
        <f>'PERT Schedule'!$J$9</f>
        <v>18</v>
      </c>
      <c r="Z12" s="29">
        <f>'PERT Schedule'!$I$13</f>
        <v>22</v>
      </c>
      <c r="AA12" s="30">
        <f>'PERT Schedule'!$H$13</f>
        <v>5</v>
      </c>
      <c r="AB12" s="31">
        <f>'PERT Schedule'!$J$13</f>
        <v>27</v>
      </c>
      <c r="AH12" s="29">
        <f>'PERT Schedule'!$I$17</f>
        <v>31</v>
      </c>
      <c r="AI12" s="30">
        <f>'PERT Schedule'!$H$17</f>
        <v>4</v>
      </c>
      <c r="AJ12" s="31">
        <f>'PERT Schedule'!$J$17</f>
        <v>35</v>
      </c>
    </row>
    <row r="13" spans="2:52" x14ac:dyDescent="0.25">
      <c r="R13" s="21" t="s">
        <v>23</v>
      </c>
      <c r="S13" s="22"/>
      <c r="T13" s="23"/>
      <c r="Z13" s="32" t="s">
        <v>26</v>
      </c>
      <c r="AA13" s="22"/>
      <c r="AB13" s="26"/>
      <c r="AH13" s="32" t="s">
        <v>31</v>
      </c>
      <c r="AI13" s="22"/>
      <c r="AJ13" s="26"/>
    </row>
    <row r="14" spans="2:52" ht="15.6" thickBot="1" x14ac:dyDescent="0.3">
      <c r="R14" s="13">
        <f>'PERT Schedule'!$K$9</f>
        <v>15</v>
      </c>
      <c r="S14" s="13">
        <f>'PERT Schedule'!$M$9</f>
        <v>1</v>
      </c>
      <c r="T14" s="13">
        <f>'PERT Schedule'!$L$9</f>
        <v>19</v>
      </c>
      <c r="Z14" s="33">
        <f>'PERT Schedule'!$K$13</f>
        <v>22</v>
      </c>
      <c r="AA14" s="27">
        <f>'PERT Schedule'!$M$13</f>
        <v>0</v>
      </c>
      <c r="AB14" s="28">
        <f>'PERT Schedule'!$L$13</f>
        <v>27</v>
      </c>
      <c r="AH14" s="33">
        <f>'PERT Schedule'!$K$17</f>
        <v>31</v>
      </c>
      <c r="AI14" s="27">
        <f>'PERT Schedule'!$M$17</f>
        <v>0</v>
      </c>
      <c r="AJ14" s="28">
        <f>'PERT Schedule'!$L$17</f>
        <v>35</v>
      </c>
    </row>
    <row r="15" spans="2:52" x14ac:dyDescent="0.25">
      <c r="C15" s="36" t="s">
        <v>54</v>
      </c>
      <c r="D15" s="35"/>
    </row>
    <row r="16" spans="2:52" x14ac:dyDescent="0.25">
      <c r="C16" s="34" t="s">
        <v>53</v>
      </c>
    </row>
  </sheetData>
  <mergeCells count="16">
    <mergeCell ref="AL10:AN10"/>
    <mergeCell ref="AP10:AR10"/>
    <mergeCell ref="AT10:AV10"/>
    <mergeCell ref="AX10:AZ10"/>
    <mergeCell ref="V10:X10"/>
    <mergeCell ref="Z7:AB7"/>
    <mergeCell ref="Z13:AB13"/>
    <mergeCell ref="AD10:AF10"/>
    <mergeCell ref="AH7:AJ7"/>
    <mergeCell ref="AH13:AJ13"/>
    <mergeCell ref="B10:D10"/>
    <mergeCell ref="F10:H10"/>
    <mergeCell ref="J10:L10"/>
    <mergeCell ref="N10:P10"/>
    <mergeCell ref="R7:T7"/>
    <mergeCell ref="R13:T1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01C-D9B6-444B-BA73-606952C85D6A}">
  <dimension ref="A1:AV22"/>
  <sheetViews>
    <sheetView topLeftCell="A12" zoomScale="82" zoomScaleNormal="82" workbookViewId="0">
      <selection activeCell="F23" sqref="F23"/>
    </sheetView>
  </sheetViews>
  <sheetFormatPr defaultColWidth="0" defaultRowHeight="14.4" x14ac:dyDescent="0.3"/>
  <cols>
    <col min="1" max="1" width="8.88671875" customWidth="1"/>
    <col min="2" max="2" width="29.21875" style="20" customWidth="1"/>
    <col min="3" max="48" width="3.44140625" customWidth="1"/>
    <col min="49" max="16384" width="8.88671875" hidden="1"/>
  </cols>
  <sheetData>
    <row r="1" spans="1:48" ht="18" customHeight="1" x14ac:dyDescent="0.3">
      <c r="A1" s="14"/>
      <c r="B1" s="17"/>
      <c r="C1" s="10" t="s">
        <v>49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s="9" customFormat="1" ht="15.6" x14ac:dyDescent="0.3">
      <c r="A2" s="15" t="s">
        <v>0</v>
      </c>
      <c r="B2" s="15" t="s">
        <v>1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8">
        <v>32</v>
      </c>
      <c r="AI2" s="8">
        <v>33</v>
      </c>
      <c r="AJ2" s="8">
        <v>34</v>
      </c>
      <c r="AK2" s="8">
        <v>35</v>
      </c>
      <c r="AL2" s="8">
        <v>36</v>
      </c>
      <c r="AM2" s="8">
        <v>37</v>
      </c>
      <c r="AN2" s="8">
        <v>38</v>
      </c>
      <c r="AO2" s="8">
        <v>39</v>
      </c>
      <c r="AP2" s="8">
        <v>40</v>
      </c>
      <c r="AQ2" s="8">
        <v>41</v>
      </c>
      <c r="AR2" s="8">
        <v>42</v>
      </c>
      <c r="AS2" s="8">
        <v>43</v>
      </c>
      <c r="AT2" s="8">
        <v>44</v>
      </c>
      <c r="AU2" s="8">
        <v>45</v>
      </c>
      <c r="AV2" s="8">
        <v>46</v>
      </c>
    </row>
    <row r="3" spans="1:48" s="12" customFormat="1" ht="15.6" x14ac:dyDescent="0.3">
      <c r="A3" s="16" t="s">
        <v>10</v>
      </c>
      <c r="B3" s="18"/>
    </row>
    <row r="4" spans="1:48" ht="30" x14ac:dyDescent="0.3">
      <c r="A4" s="15" t="s">
        <v>11</v>
      </c>
      <c r="B4" s="19" t="s">
        <v>40</v>
      </c>
      <c r="C4" s="11"/>
      <c r="D4" s="11"/>
      <c r="E4" s="11"/>
      <c r="F4" s="11"/>
    </row>
    <row r="5" spans="1:48" ht="30" x14ac:dyDescent="0.3">
      <c r="A5" s="15" t="s">
        <v>13</v>
      </c>
      <c r="B5" s="19" t="s">
        <v>41</v>
      </c>
      <c r="G5" s="11"/>
      <c r="H5" s="11"/>
      <c r="I5" s="11"/>
      <c r="J5" s="11"/>
    </row>
    <row r="6" spans="1:48" ht="15" x14ac:dyDescent="0.3">
      <c r="A6" s="15" t="s">
        <v>14</v>
      </c>
      <c r="B6" s="19" t="s">
        <v>15</v>
      </c>
      <c r="K6" s="11"/>
      <c r="L6" s="11"/>
      <c r="M6" s="11"/>
      <c r="N6" s="11"/>
    </row>
    <row r="7" spans="1:48" ht="15" x14ac:dyDescent="0.3">
      <c r="A7" s="15" t="s">
        <v>16</v>
      </c>
      <c r="B7" s="19" t="s">
        <v>17</v>
      </c>
      <c r="O7" s="11"/>
      <c r="P7" s="11"/>
    </row>
    <row r="8" spans="1:48" s="12" customFormat="1" ht="15.6" x14ac:dyDescent="0.3">
      <c r="A8" s="16" t="s">
        <v>19</v>
      </c>
      <c r="B8" s="18"/>
    </row>
    <row r="9" spans="1:48" ht="15" x14ac:dyDescent="0.3">
      <c r="A9" s="15" t="s">
        <v>20</v>
      </c>
      <c r="B9" s="19" t="s">
        <v>21</v>
      </c>
      <c r="Q9" s="11"/>
      <c r="R9" s="11"/>
      <c r="S9" s="11"/>
      <c r="T9" s="11"/>
      <c r="U9" s="11"/>
    </row>
    <row r="10" spans="1:48" ht="15" x14ac:dyDescent="0.3">
      <c r="A10" s="15" t="s">
        <v>23</v>
      </c>
      <c r="B10" s="19" t="s">
        <v>24</v>
      </c>
      <c r="Q10" s="11"/>
      <c r="R10" s="11"/>
      <c r="S10" s="11"/>
      <c r="T10" s="11"/>
    </row>
    <row r="11" spans="1:48" ht="30" x14ac:dyDescent="0.3">
      <c r="A11" s="15" t="s">
        <v>22</v>
      </c>
      <c r="B11" s="19" t="s">
        <v>42</v>
      </c>
      <c r="V11" s="11"/>
      <c r="W11" s="11"/>
      <c r="X11" s="11"/>
    </row>
    <row r="12" spans="1:48" s="12" customFormat="1" ht="15.6" x14ac:dyDescent="0.3">
      <c r="A12" s="16" t="s">
        <v>25</v>
      </c>
      <c r="B12" s="18"/>
    </row>
    <row r="13" spans="1:48" ht="15" x14ac:dyDescent="0.3">
      <c r="A13" s="15" t="s">
        <v>50</v>
      </c>
      <c r="B13" s="19" t="s">
        <v>48</v>
      </c>
      <c r="Y13" s="11"/>
      <c r="Z13" s="11"/>
      <c r="AA13" s="11"/>
      <c r="AB13" s="11"/>
    </row>
    <row r="14" spans="1:48" ht="15" x14ac:dyDescent="0.3">
      <c r="A14" s="15" t="s">
        <v>26</v>
      </c>
      <c r="B14" s="19" t="s">
        <v>29</v>
      </c>
      <c r="Y14" s="11"/>
      <c r="Z14" s="11"/>
      <c r="AA14" s="11"/>
      <c r="AB14" s="11"/>
      <c r="AC14" s="11"/>
    </row>
    <row r="15" spans="1:48" ht="15" x14ac:dyDescent="0.3">
      <c r="A15" s="15" t="s">
        <v>28</v>
      </c>
      <c r="B15" s="19" t="s">
        <v>43</v>
      </c>
      <c r="AD15" s="11"/>
      <c r="AE15" s="11"/>
      <c r="AF15" s="11"/>
      <c r="AG15" s="11"/>
    </row>
    <row r="16" spans="1:48" s="12" customFormat="1" ht="15.6" x14ac:dyDescent="0.3">
      <c r="A16" s="16" t="s">
        <v>30</v>
      </c>
      <c r="B16" s="18"/>
    </row>
    <row r="17" spans="1:48" ht="15" x14ac:dyDescent="0.3">
      <c r="A17" s="15" t="s">
        <v>27</v>
      </c>
      <c r="B17" s="19" t="s">
        <v>32</v>
      </c>
      <c r="AH17" s="11"/>
      <c r="AI17" s="11"/>
      <c r="AJ17" s="11"/>
    </row>
    <row r="18" spans="1:48" ht="30" x14ac:dyDescent="0.3">
      <c r="A18" s="15" t="s">
        <v>31</v>
      </c>
      <c r="B18" s="19" t="s">
        <v>35</v>
      </c>
      <c r="AH18" s="11"/>
      <c r="AI18" s="11"/>
      <c r="AJ18" s="11"/>
      <c r="AK18" s="11"/>
    </row>
    <row r="19" spans="1:48" ht="30" x14ac:dyDescent="0.3">
      <c r="A19" s="15" t="s">
        <v>34</v>
      </c>
      <c r="B19" s="19" t="s">
        <v>44</v>
      </c>
      <c r="AL19" s="11"/>
      <c r="AM19" s="11"/>
      <c r="AN19" s="11"/>
    </row>
    <row r="20" spans="1:48" ht="15" x14ac:dyDescent="0.3">
      <c r="A20" s="15" t="s">
        <v>33</v>
      </c>
      <c r="B20" s="19" t="s">
        <v>37</v>
      </c>
      <c r="AO20" s="11"/>
      <c r="AP20" s="11"/>
      <c r="AQ20" s="11"/>
      <c r="AR20" s="11"/>
    </row>
    <row r="21" spans="1:48" s="12" customFormat="1" ht="15.6" x14ac:dyDescent="0.3">
      <c r="A21" s="16" t="s">
        <v>38</v>
      </c>
      <c r="B21" s="18"/>
    </row>
    <row r="22" spans="1:48" ht="30" x14ac:dyDescent="0.3">
      <c r="A22" s="15" t="s">
        <v>36</v>
      </c>
      <c r="B22" s="19" t="s">
        <v>39</v>
      </c>
      <c r="AS22" s="11"/>
      <c r="AT22" s="11"/>
      <c r="AU22" s="11"/>
      <c r="AV22" s="11"/>
    </row>
  </sheetData>
  <mergeCells count="1">
    <mergeCell ref="C1:AV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PERT Schedule</vt:lpstr>
      <vt:lpstr>PERT Diagram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GEMAR ENTAPA</cp:lastModifiedBy>
  <dcterms:created xsi:type="dcterms:W3CDTF">2026-03-18T07:47:49Z</dcterms:created>
  <dcterms:modified xsi:type="dcterms:W3CDTF">2026-03-19T01:00:00Z</dcterms:modified>
</cp:coreProperties>
</file>